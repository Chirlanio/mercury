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rlanio\Desktop\"/>
    </mc:Choice>
  </mc:AlternateContent>
  <xr:revisionPtr revIDLastSave="0" documentId="13_ncr:1_{BA5B4093-725D-4A93-920E-1EC6C09B1C3C}" xr6:coauthVersionLast="47" xr6:coauthVersionMax="47" xr10:uidLastSave="{00000000-0000-0000-0000-000000000000}"/>
  <bookViews>
    <workbookView xWindow="-120" yWindow="-120" windowWidth="38640" windowHeight="16440" activeTab="2" xr2:uid="{246CE717-FDE5-4411-804A-3AF020285047}"/>
  </bookViews>
  <sheets>
    <sheet name="Total" sheetId="1" r:id="rId1"/>
    <sheet name="Planilha1" sheetId="2" r:id="rId2"/>
    <sheet name="Planilha2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7" i="1" l="1"/>
  <c r="G27" i="1"/>
  <c r="H26" i="1"/>
  <c r="G26" i="1"/>
  <c r="F27" i="1"/>
  <c r="I27" i="1" s="1"/>
  <c r="F26" i="1"/>
  <c r="I26" i="1" s="1"/>
  <c r="H24" i="1"/>
  <c r="G24" i="1"/>
  <c r="F24" i="1"/>
  <c r="I24" i="1" s="1"/>
  <c r="H23" i="1"/>
  <c r="G23" i="1"/>
  <c r="F23" i="1"/>
  <c r="I23" i="1" s="1"/>
  <c r="H22" i="1"/>
  <c r="G22" i="1"/>
  <c r="F22" i="1"/>
  <c r="I22" i="1" s="1"/>
  <c r="H21" i="1"/>
  <c r="G21" i="1"/>
  <c r="F21" i="1"/>
  <c r="I21" i="1" s="1"/>
  <c r="H19" i="1"/>
  <c r="G19" i="1"/>
  <c r="F19" i="1"/>
  <c r="I19" i="1" s="1"/>
  <c r="H18" i="1"/>
  <c r="G18" i="1"/>
  <c r="F18" i="1"/>
  <c r="I18" i="1" s="1"/>
  <c r="H17" i="1"/>
  <c r="G17" i="1"/>
  <c r="F17" i="1"/>
  <c r="I17" i="1" s="1"/>
  <c r="H15" i="1"/>
  <c r="H14" i="1"/>
  <c r="H13" i="1"/>
  <c r="G15" i="1"/>
  <c r="G14" i="1"/>
  <c r="G13" i="1"/>
  <c r="F15" i="1"/>
  <c r="I15" i="1" s="1"/>
  <c r="F14" i="1"/>
  <c r="I14" i="1" s="1"/>
  <c r="F13" i="1"/>
  <c r="I13" i="1" s="1"/>
  <c r="H11" i="1"/>
  <c r="G11" i="1"/>
  <c r="F11" i="1"/>
  <c r="I11" i="1" s="1"/>
  <c r="H10" i="1"/>
  <c r="G10" i="1"/>
  <c r="F10" i="1"/>
  <c r="I10" i="1" s="1"/>
  <c r="H9" i="1"/>
  <c r="G9" i="1"/>
  <c r="F9" i="1"/>
  <c r="I9" i="1" s="1"/>
  <c r="H8" i="1"/>
  <c r="G8" i="1"/>
  <c r="F8" i="1"/>
  <c r="I8" i="1" s="1"/>
  <c r="H7" i="1"/>
  <c r="G7" i="1"/>
  <c r="F7" i="1"/>
  <c r="I7" i="1" s="1"/>
  <c r="H6" i="1"/>
  <c r="G6" i="1"/>
  <c r="F6" i="1"/>
  <c r="I6" i="1" s="1"/>
  <c r="H5" i="1"/>
  <c r="G5" i="1"/>
  <c r="F5" i="1"/>
  <c r="I5" i="1" s="1"/>
  <c r="H4" i="1"/>
  <c r="G4" i="1"/>
  <c r="F4" i="1"/>
  <c r="I4" i="1" s="1"/>
  <c r="F16" i="1"/>
  <c r="G20" i="1"/>
  <c r="F20" i="1"/>
  <c r="F12" i="1" l="1"/>
  <c r="E27" i="1"/>
  <c r="E4" i="1" l="1"/>
  <c r="E3" i="1" l="1"/>
  <c r="E31" i="1" l="1"/>
  <c r="E29" i="1"/>
  <c r="E28" i="1"/>
  <c r="E22" i="1" l="1"/>
  <c r="E13" i="1"/>
  <c r="E6" i="1"/>
  <c r="E8" i="1"/>
  <c r="E30" i="1"/>
  <c r="E10" i="1"/>
  <c r="E24" i="1"/>
  <c r="E23" i="1"/>
  <c r="E19" i="1"/>
  <c r="E7" i="1"/>
  <c r="E11" i="1"/>
  <c r="E18" i="1"/>
  <c r="E14" i="1"/>
  <c r="E21" i="1" l="1"/>
  <c r="E16" i="1"/>
  <c r="E17" i="1"/>
  <c r="E5" i="1"/>
  <c r="E9" i="1"/>
  <c r="E15" i="1"/>
  <c r="G16" i="1" l="1"/>
  <c r="E20" i="1"/>
  <c r="E12" i="1"/>
  <c r="H16" i="1" l="1"/>
  <c r="I16" i="1" s="1"/>
  <c r="F3" i="1"/>
  <c r="E26" i="1"/>
  <c r="G25" i="1" l="1"/>
  <c r="E25" i="1"/>
  <c r="F25" i="1"/>
  <c r="G3" i="1"/>
  <c r="H3" i="1"/>
  <c r="H12" i="1"/>
  <c r="G12" i="1"/>
  <c r="H20" i="1"/>
  <c r="I20" i="1" s="1"/>
  <c r="G32" i="1" l="1"/>
  <c r="I3" i="1"/>
  <c r="I12" i="1"/>
  <c r="F32" i="1"/>
  <c r="H25" i="1"/>
  <c r="H32" i="1" s="1"/>
  <c r="E32" i="1"/>
  <c r="I25" i="1" l="1"/>
  <c r="I32" i="1" s="1"/>
</calcChain>
</file>

<file path=xl/sharedStrings.xml><?xml version="1.0" encoding="utf-8"?>
<sst xmlns="http://schemas.openxmlformats.org/spreadsheetml/2006/main" count="195" uniqueCount="66">
  <si>
    <t>Rede/Lojas</t>
  </si>
  <si>
    <t>AREZZO</t>
  </si>
  <si>
    <t>AZZ 408</t>
  </si>
  <si>
    <t>AZZ 90</t>
  </si>
  <si>
    <t>AZZ CARIRI</t>
  </si>
  <si>
    <t>AZZ CENTRO</t>
  </si>
  <si>
    <t>AZZ DOM LUÍS</t>
  </si>
  <si>
    <t>AZZ KENNEDY</t>
  </si>
  <si>
    <t>AZZ RIOMAR</t>
  </si>
  <si>
    <t>AZZ SOBRAL</t>
  </si>
  <si>
    <t>MEIA SOLA</t>
  </si>
  <si>
    <t>MS IGUATEMI</t>
  </si>
  <si>
    <t>MS MAISON</t>
  </si>
  <si>
    <t>MS RIOMAR</t>
  </si>
  <si>
    <t>SCHUTZ</t>
  </si>
  <si>
    <t>STZ ALDEOTA</t>
  </si>
  <si>
    <t>STZ IGUATEMI</t>
  </si>
  <si>
    <t>STZ RIOMAR</t>
  </si>
  <si>
    <t>ANACAPRI</t>
  </si>
  <si>
    <t>AC ALDEOTA</t>
  </si>
  <si>
    <t>AC CARIRI</t>
  </si>
  <si>
    <t>AC IGUATEMI</t>
  </si>
  <si>
    <t>AC RIOMAR</t>
  </si>
  <si>
    <t>MS OFF</t>
  </si>
  <si>
    <t>MS OFF CAUCAIA</t>
  </si>
  <si>
    <t>AT HOME</t>
  </si>
  <si>
    <t>E-COMMERCE</t>
  </si>
  <si>
    <t>Total Geral</t>
  </si>
  <si>
    <t>Financeiro</t>
  </si>
  <si>
    <t>Ecommerce</t>
  </si>
  <si>
    <t>Meta Outubro</t>
  </si>
  <si>
    <t>Meta Novembro</t>
  </si>
  <si>
    <t>Meta Dezembro</t>
  </si>
  <si>
    <t>MS OFF ALDEOTA</t>
  </si>
  <si>
    <t>Meta E-Com Out</t>
  </si>
  <si>
    <t>Meta E-Com Nov</t>
  </si>
  <si>
    <t>Meta E-Com Dez</t>
  </si>
  <si>
    <t>Meta Triunfo</t>
  </si>
  <si>
    <t>Total Triunfo '21 EC</t>
  </si>
  <si>
    <t>Outubro</t>
  </si>
  <si>
    <t>Novembro</t>
  </si>
  <si>
    <t>Dezembro</t>
  </si>
  <si>
    <t>Lojas</t>
  </si>
  <si>
    <t>Z424</t>
  </si>
  <si>
    <t>Z423</t>
  </si>
  <si>
    <t>Z427</t>
  </si>
  <si>
    <t>Z421</t>
  </si>
  <si>
    <t>Z422</t>
  </si>
  <si>
    <t>Z426</t>
  </si>
  <si>
    <t>Z425</t>
  </si>
  <si>
    <t>Z428</t>
  </si>
  <si>
    <t>Z432</t>
  </si>
  <si>
    <t>Z429</t>
  </si>
  <si>
    <t>Z430</t>
  </si>
  <si>
    <t>Z438</t>
  </si>
  <si>
    <t>Z440</t>
  </si>
  <si>
    <t>Z439</t>
  </si>
  <si>
    <t>Z434</t>
  </si>
  <si>
    <t>Z435</t>
  </si>
  <si>
    <t>Z436</t>
  </si>
  <si>
    <t>Z437</t>
  </si>
  <si>
    <t>Z431</t>
  </si>
  <si>
    <t>Z433</t>
  </si>
  <si>
    <t>Z441</t>
  </si>
  <si>
    <t>Mês</t>
  </si>
  <si>
    <t>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</si>
</sst>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#,##0.00_);[Red]\(&quot;R$&quot;#,##0.00\)"/>
    <numFmt numFmtId="165" formatCode="&quot;R$&quot;\ #,##0.00"/>
    <numFmt numFmtId="166" formatCode="&quot;R$&quot;\ #,##0.00;[Red]&quot;R$&quot;\ 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7030A0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left" indent="1"/>
    </xf>
    <xf numFmtId="164" fontId="0" fillId="0" borderId="0" xfId="0" applyNumberFormat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166" fontId="0" fillId="0" borderId="0" xfId="0" applyNumberFormat="1"/>
    <xf numFmtId="0" fontId="2" fillId="0" borderId="0" xfId="0" applyFont="1" applyAlignment="1"/>
    <xf numFmtId="0" fontId="2" fillId="0" borderId="0" xfId="0" applyFont="1" applyAlignment="1">
      <alignment horizontal="center"/>
    </xf>
    <xf numFmtId="0" fontId="0" fillId="0" borderId="0" xfId="0" applyAlignment="1"/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4" fillId="0" borderId="0" xfId="0" applyNumberFormat="1" applyFont="1" applyFill="1" applyBorder="1" applyAlignment="1" applyProtection="1"/>
    <xf numFmtId="1" fontId="4" fillId="0" borderId="0" xfId="0" applyNumberFormat="1" applyFont="1" applyFill="1" applyBorder="1" applyAlignment="1" applyProtection="1"/>
  </cellXfs>
  <cellStyles count="2">
    <cellStyle name="Normal" xfId="0" builtinId="0"/>
    <cellStyle name="Porcentagem" xfId="1" builtinId="5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00"/>
        <name val="Calibri"/>
        <family val="2"/>
        <scheme val="minor"/>
      </font>
      <fill>
        <patternFill patternType="solid">
          <fgColor theme="4" tint="0.79998168889431442"/>
          <bgColor rgb="FF7030A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&quot;R$&quot;#,##0.00_);[Red]\(&quot;R$&quot;#,##0.00\)"/>
      <alignment horizontal="center" vertical="center" textRotation="0" wrapText="0" indent="0" justifyLastLine="0" shrinkToFit="0" readingOrder="0"/>
    </dxf>
    <dxf>
      <numFmt numFmtId="164" formatCode="&quot;R$&quot;#,##0.00_);[Red]\(&quot;R$&quot;#,##0.00\)"/>
      <alignment horizontal="center" vertical="center" textRotation="0" wrapText="0" indent="0" justifyLastLine="0" shrinkToFit="0" readingOrder="0"/>
    </dxf>
    <dxf>
      <numFmt numFmtId="164" formatCode="&quot;R$&quot;#,##0.00_);[Red]\(&quot;R$&quot;#,##0.00\)"/>
      <alignment horizontal="center"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13E5D7-AE75-4288-A789-A06309831AC7}" name="Metas" displayName="Metas" ref="A1:D22" totalsRowShown="0" headerRowDxfId="0" dataDxfId="1" headerRowBorderDxfId="6">
  <autoFilter ref="A1:D22" xr:uid="{2B13E5D7-AE75-4288-A789-A06309831AC7}"/>
  <tableColumns count="4">
    <tableColumn id="1" xr3:uid="{50A5FD8C-15B5-4440-8D3D-B7B9C50D990E}" name="Lojas" dataDxfId="5"/>
    <tableColumn id="2" xr3:uid="{847A1788-D0B5-4C57-96C3-1E8D744829FB}" name="Outubro" dataDxfId="4"/>
    <tableColumn id="3" xr3:uid="{09875EBE-4A71-4252-BF69-B2DCE70C6885}" name="Novembro" dataDxfId="3"/>
    <tableColumn id="4" xr3:uid="{E555BAC7-16BC-4E32-BD4D-790D9BF30EA2}" name="Dezembr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FB8AB-8A3B-4066-832B-12C1CCD6AD40}">
  <dimension ref="A1:J33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I32"/>
    </sheetView>
  </sheetViews>
  <sheetFormatPr defaultRowHeight="15" x14ac:dyDescent="0.25"/>
  <cols>
    <col min="1" max="1" width="25.28515625" bestFit="1" customWidth="1"/>
    <col min="2" max="9" width="20.42578125" customWidth="1"/>
  </cols>
  <sheetData>
    <row r="1" spans="1:10" x14ac:dyDescent="0.25">
      <c r="B1" s="14" t="s">
        <v>28</v>
      </c>
      <c r="C1" s="14"/>
      <c r="D1" s="14"/>
      <c r="E1" s="14"/>
      <c r="F1" s="14" t="s">
        <v>29</v>
      </c>
      <c r="G1" s="14"/>
      <c r="H1" s="14"/>
      <c r="I1" s="14"/>
      <c r="J1" s="13"/>
    </row>
    <row r="2" spans="1:10" x14ac:dyDescent="0.25">
      <c r="A2" s="7" t="s">
        <v>0</v>
      </c>
      <c r="B2" s="8" t="s">
        <v>30</v>
      </c>
      <c r="C2" s="8" t="s">
        <v>31</v>
      </c>
      <c r="D2" s="8" t="s">
        <v>32</v>
      </c>
      <c r="E2" s="8" t="s">
        <v>37</v>
      </c>
      <c r="F2" s="11" t="s">
        <v>34</v>
      </c>
      <c r="G2" s="11" t="s">
        <v>35</v>
      </c>
      <c r="H2" s="11" t="s">
        <v>36</v>
      </c>
      <c r="I2" s="8" t="s">
        <v>38</v>
      </c>
    </row>
    <row r="3" spans="1:10" x14ac:dyDescent="0.25">
      <c r="A3" s="1" t="s">
        <v>1</v>
      </c>
      <c r="B3" s="2">
        <v>4045000</v>
      </c>
      <c r="C3" s="2">
        <v>4445000</v>
      </c>
      <c r="D3" s="2">
        <v>7060000</v>
      </c>
      <c r="E3" s="2">
        <f t="shared" ref="E3:E24" si="0">B3+C3+D3</f>
        <v>15550000</v>
      </c>
      <c r="F3" s="2">
        <f>SUM(F4:F11)</f>
        <v>40450</v>
      </c>
      <c r="G3" s="2">
        <f t="shared" ref="G3:H3" si="1">SUM(G4:G11)</f>
        <v>44450</v>
      </c>
      <c r="H3" s="2">
        <f t="shared" si="1"/>
        <v>70600</v>
      </c>
      <c r="I3" s="2">
        <f t="shared" ref="I3:I27" si="2">F3+G3+H3</f>
        <v>155500</v>
      </c>
    </row>
    <row r="4" spans="1:10" x14ac:dyDescent="0.25">
      <c r="A4" s="3" t="s">
        <v>2</v>
      </c>
      <c r="B4" s="4">
        <v>995000</v>
      </c>
      <c r="C4" s="4">
        <v>1030000</v>
      </c>
      <c r="D4" s="4">
        <v>1800000</v>
      </c>
      <c r="E4" s="4">
        <f t="shared" si="0"/>
        <v>3825000</v>
      </c>
      <c r="F4" s="4">
        <f>B4*0.01</f>
        <v>9950</v>
      </c>
      <c r="G4" s="4">
        <f t="shared" ref="G4:H4" si="3">C4*0.01</f>
        <v>10300</v>
      </c>
      <c r="H4" s="4">
        <f t="shared" si="3"/>
        <v>18000</v>
      </c>
      <c r="I4" s="4">
        <f t="shared" si="2"/>
        <v>38250</v>
      </c>
    </row>
    <row r="5" spans="1:10" x14ac:dyDescent="0.25">
      <c r="A5" s="3" t="s">
        <v>3</v>
      </c>
      <c r="B5" s="4">
        <v>550000</v>
      </c>
      <c r="C5" s="4">
        <v>590000</v>
      </c>
      <c r="D5" s="4">
        <v>950000</v>
      </c>
      <c r="E5" s="4">
        <f t="shared" si="0"/>
        <v>2090000</v>
      </c>
      <c r="F5" s="4">
        <f t="shared" ref="F5:F11" si="4">B5*0.01</f>
        <v>5500</v>
      </c>
      <c r="G5" s="4">
        <f t="shared" ref="G5:G11" si="5">C5*0.01</f>
        <v>5900</v>
      </c>
      <c r="H5" s="4">
        <f t="shared" ref="H5:H11" si="6">D5*0.01</f>
        <v>9500</v>
      </c>
      <c r="I5" s="4">
        <f t="shared" si="2"/>
        <v>20900</v>
      </c>
    </row>
    <row r="6" spans="1:10" x14ac:dyDescent="0.25">
      <c r="A6" s="3" t="s">
        <v>4</v>
      </c>
      <c r="B6" s="4">
        <v>370000</v>
      </c>
      <c r="C6" s="4">
        <v>410000</v>
      </c>
      <c r="D6" s="4">
        <v>600000</v>
      </c>
      <c r="E6" s="4">
        <f t="shared" si="0"/>
        <v>1380000</v>
      </c>
      <c r="F6" s="4">
        <f t="shared" si="4"/>
        <v>3700</v>
      </c>
      <c r="G6" s="4">
        <f t="shared" si="5"/>
        <v>4100</v>
      </c>
      <c r="H6" s="4">
        <f t="shared" si="6"/>
        <v>6000</v>
      </c>
      <c r="I6" s="4">
        <f t="shared" si="2"/>
        <v>13800</v>
      </c>
    </row>
    <row r="7" spans="1:10" x14ac:dyDescent="0.25">
      <c r="A7" s="3" t="s">
        <v>5</v>
      </c>
      <c r="B7" s="4">
        <v>145000</v>
      </c>
      <c r="C7" s="4">
        <v>160000</v>
      </c>
      <c r="D7" s="4">
        <v>230000</v>
      </c>
      <c r="E7" s="4">
        <f t="shared" si="0"/>
        <v>535000</v>
      </c>
      <c r="F7" s="4">
        <f t="shared" si="4"/>
        <v>1450</v>
      </c>
      <c r="G7" s="4">
        <f t="shared" si="5"/>
        <v>1600</v>
      </c>
      <c r="H7" s="4">
        <f t="shared" si="6"/>
        <v>2300</v>
      </c>
      <c r="I7" s="4">
        <f t="shared" si="2"/>
        <v>5350</v>
      </c>
    </row>
    <row r="8" spans="1:10" x14ac:dyDescent="0.25">
      <c r="A8" s="3" t="s">
        <v>6</v>
      </c>
      <c r="B8" s="4">
        <v>710000</v>
      </c>
      <c r="C8" s="4">
        <v>800000</v>
      </c>
      <c r="D8" s="4">
        <v>1200000</v>
      </c>
      <c r="E8" s="4">
        <f t="shared" si="0"/>
        <v>2710000</v>
      </c>
      <c r="F8" s="4">
        <f t="shared" si="4"/>
        <v>7100</v>
      </c>
      <c r="G8" s="4">
        <f t="shared" si="5"/>
        <v>8000</v>
      </c>
      <c r="H8" s="4">
        <f t="shared" si="6"/>
        <v>12000</v>
      </c>
      <c r="I8" s="4">
        <f t="shared" si="2"/>
        <v>27100</v>
      </c>
    </row>
    <row r="9" spans="1:10" x14ac:dyDescent="0.25">
      <c r="A9" s="3" t="s">
        <v>7</v>
      </c>
      <c r="B9" s="4">
        <v>375000</v>
      </c>
      <c r="C9" s="4">
        <v>420000</v>
      </c>
      <c r="D9" s="4">
        <v>650000</v>
      </c>
      <c r="E9" s="4">
        <f t="shared" si="0"/>
        <v>1445000</v>
      </c>
      <c r="F9" s="4">
        <f t="shared" si="4"/>
        <v>3750</v>
      </c>
      <c r="G9" s="4">
        <f t="shared" si="5"/>
        <v>4200</v>
      </c>
      <c r="H9" s="4">
        <f t="shared" si="6"/>
        <v>6500</v>
      </c>
      <c r="I9" s="4">
        <f t="shared" si="2"/>
        <v>14450</v>
      </c>
    </row>
    <row r="10" spans="1:10" x14ac:dyDescent="0.25">
      <c r="A10" s="3" t="s">
        <v>8</v>
      </c>
      <c r="B10" s="4">
        <v>700000</v>
      </c>
      <c r="C10" s="4">
        <v>820000</v>
      </c>
      <c r="D10" s="4">
        <v>1300000</v>
      </c>
      <c r="E10" s="4">
        <f t="shared" si="0"/>
        <v>2820000</v>
      </c>
      <c r="F10" s="4">
        <f t="shared" si="4"/>
        <v>7000</v>
      </c>
      <c r="G10" s="4">
        <f t="shared" si="5"/>
        <v>8200</v>
      </c>
      <c r="H10" s="4">
        <f t="shared" si="6"/>
        <v>13000</v>
      </c>
      <c r="I10" s="4">
        <f t="shared" si="2"/>
        <v>28200</v>
      </c>
    </row>
    <row r="11" spans="1:10" x14ac:dyDescent="0.25">
      <c r="A11" s="3" t="s">
        <v>9</v>
      </c>
      <c r="B11" s="4">
        <v>200000</v>
      </c>
      <c r="C11" s="4">
        <v>215000</v>
      </c>
      <c r="D11" s="4">
        <v>330000</v>
      </c>
      <c r="E11" s="4">
        <f t="shared" si="0"/>
        <v>745000</v>
      </c>
      <c r="F11" s="4">
        <f t="shared" si="4"/>
        <v>2000</v>
      </c>
      <c r="G11" s="4">
        <f t="shared" si="5"/>
        <v>2150</v>
      </c>
      <c r="H11" s="4">
        <f t="shared" si="6"/>
        <v>3300</v>
      </c>
      <c r="I11" s="4">
        <f t="shared" si="2"/>
        <v>7450</v>
      </c>
    </row>
    <row r="12" spans="1:10" x14ac:dyDescent="0.25">
      <c r="A12" s="1" t="s">
        <v>10</v>
      </c>
      <c r="B12" s="2">
        <v>1700000</v>
      </c>
      <c r="C12" s="2">
        <v>1800000</v>
      </c>
      <c r="D12" s="2">
        <v>2850000</v>
      </c>
      <c r="E12" s="2">
        <f t="shared" si="0"/>
        <v>6350000</v>
      </c>
      <c r="F12" s="2">
        <f>SUM(F13:F15)</f>
        <v>17000</v>
      </c>
      <c r="G12" s="2">
        <f t="shared" ref="G12:H12" si="7">SUM(G13:G15)</f>
        <v>18000</v>
      </c>
      <c r="H12" s="2">
        <f t="shared" si="7"/>
        <v>28500</v>
      </c>
      <c r="I12" s="2">
        <f t="shared" si="2"/>
        <v>63500</v>
      </c>
    </row>
    <row r="13" spans="1:10" x14ac:dyDescent="0.25">
      <c r="A13" s="3" t="s">
        <v>11</v>
      </c>
      <c r="B13" s="4">
        <v>430000</v>
      </c>
      <c r="C13" s="4">
        <v>460000</v>
      </c>
      <c r="D13" s="4">
        <v>700000</v>
      </c>
      <c r="E13" s="4">
        <f t="shared" si="0"/>
        <v>1590000</v>
      </c>
      <c r="F13" s="4">
        <f t="shared" ref="F13:H15" si="8">B13*0.01</f>
        <v>4300</v>
      </c>
      <c r="G13" s="4">
        <f t="shared" si="8"/>
        <v>4600</v>
      </c>
      <c r="H13" s="4">
        <f t="shared" si="8"/>
        <v>7000</v>
      </c>
      <c r="I13" s="4">
        <f t="shared" si="2"/>
        <v>15900</v>
      </c>
    </row>
    <row r="14" spans="1:10" x14ac:dyDescent="0.25">
      <c r="A14" s="3" t="s">
        <v>12</v>
      </c>
      <c r="B14" s="4">
        <v>970000</v>
      </c>
      <c r="C14" s="4">
        <v>1010000</v>
      </c>
      <c r="D14" s="4">
        <v>1650000</v>
      </c>
      <c r="E14" s="4">
        <f t="shared" si="0"/>
        <v>3630000</v>
      </c>
      <c r="F14" s="4">
        <f t="shared" si="8"/>
        <v>9700</v>
      </c>
      <c r="G14" s="4">
        <f t="shared" si="8"/>
        <v>10100</v>
      </c>
      <c r="H14" s="4">
        <f t="shared" si="8"/>
        <v>16500</v>
      </c>
      <c r="I14" s="4">
        <f t="shared" si="2"/>
        <v>36300</v>
      </c>
    </row>
    <row r="15" spans="1:10" x14ac:dyDescent="0.25">
      <c r="A15" s="3" t="s">
        <v>13</v>
      </c>
      <c r="B15" s="4">
        <v>300000</v>
      </c>
      <c r="C15" s="4">
        <v>330000</v>
      </c>
      <c r="D15" s="4">
        <v>500000</v>
      </c>
      <c r="E15" s="4">
        <f t="shared" si="0"/>
        <v>1130000</v>
      </c>
      <c r="F15" s="4">
        <f t="shared" si="8"/>
        <v>3000</v>
      </c>
      <c r="G15" s="4">
        <f t="shared" si="8"/>
        <v>3300</v>
      </c>
      <c r="H15" s="4">
        <f t="shared" si="8"/>
        <v>5000</v>
      </c>
      <c r="I15" s="4">
        <f t="shared" si="2"/>
        <v>11300</v>
      </c>
    </row>
    <row r="16" spans="1:10" x14ac:dyDescent="0.25">
      <c r="A16" s="1" t="s">
        <v>14</v>
      </c>
      <c r="B16" s="2">
        <v>950000</v>
      </c>
      <c r="C16" s="2">
        <v>1070000</v>
      </c>
      <c r="D16" s="2">
        <v>1760000</v>
      </c>
      <c r="E16" s="2">
        <f t="shared" si="0"/>
        <v>3780000</v>
      </c>
      <c r="F16" s="2">
        <f>SUM(F17:F19)</f>
        <v>9500</v>
      </c>
      <c r="G16" s="2">
        <f t="shared" ref="G16:H16" si="9">SUM(G17:G19)</f>
        <v>10700</v>
      </c>
      <c r="H16" s="2">
        <f t="shared" si="9"/>
        <v>17600</v>
      </c>
      <c r="I16" s="2">
        <f t="shared" si="2"/>
        <v>37800</v>
      </c>
    </row>
    <row r="17" spans="1:9" x14ac:dyDescent="0.25">
      <c r="A17" s="3" t="s">
        <v>15</v>
      </c>
      <c r="B17" s="4">
        <v>230000</v>
      </c>
      <c r="C17" s="4">
        <v>250000</v>
      </c>
      <c r="D17" s="4">
        <v>380000</v>
      </c>
      <c r="E17" s="4">
        <f t="shared" si="0"/>
        <v>860000</v>
      </c>
      <c r="F17" s="4">
        <f t="shared" ref="F17:F19" si="10">B17*0.01</f>
        <v>2300</v>
      </c>
      <c r="G17" s="4">
        <f t="shared" ref="G17:G19" si="11">C17*0.01</f>
        <v>2500</v>
      </c>
      <c r="H17" s="4">
        <f t="shared" ref="H17:H19" si="12">D17*0.01</f>
        <v>3800</v>
      </c>
      <c r="I17" s="4">
        <f t="shared" si="2"/>
        <v>8600</v>
      </c>
    </row>
    <row r="18" spans="1:9" x14ac:dyDescent="0.25">
      <c r="A18" s="3" t="s">
        <v>16</v>
      </c>
      <c r="B18" s="4">
        <v>410000</v>
      </c>
      <c r="C18" s="4">
        <v>470000</v>
      </c>
      <c r="D18" s="4">
        <v>760000</v>
      </c>
      <c r="E18" s="4">
        <f t="shared" si="0"/>
        <v>1640000</v>
      </c>
      <c r="F18" s="4">
        <f t="shared" si="10"/>
        <v>4100</v>
      </c>
      <c r="G18" s="4">
        <f t="shared" si="11"/>
        <v>4700</v>
      </c>
      <c r="H18" s="4">
        <f t="shared" si="12"/>
        <v>7600</v>
      </c>
      <c r="I18" s="4">
        <f t="shared" si="2"/>
        <v>16400</v>
      </c>
    </row>
    <row r="19" spans="1:9" x14ac:dyDescent="0.25">
      <c r="A19" s="3" t="s">
        <v>17</v>
      </c>
      <c r="B19" s="4">
        <v>310000</v>
      </c>
      <c r="C19" s="4">
        <v>350000</v>
      </c>
      <c r="D19" s="4">
        <v>620000</v>
      </c>
      <c r="E19" s="4">
        <f t="shared" si="0"/>
        <v>1280000</v>
      </c>
      <c r="F19" s="4">
        <f t="shared" si="10"/>
        <v>3100</v>
      </c>
      <c r="G19" s="4">
        <f t="shared" si="11"/>
        <v>3500</v>
      </c>
      <c r="H19" s="4">
        <f t="shared" si="12"/>
        <v>6200</v>
      </c>
      <c r="I19" s="4">
        <f t="shared" si="2"/>
        <v>12800</v>
      </c>
    </row>
    <row r="20" spans="1:9" x14ac:dyDescent="0.25">
      <c r="A20" s="1" t="s">
        <v>18</v>
      </c>
      <c r="B20" s="2">
        <v>625000</v>
      </c>
      <c r="C20" s="2">
        <v>695000</v>
      </c>
      <c r="D20" s="2">
        <v>1410000</v>
      </c>
      <c r="E20" s="2">
        <f t="shared" si="0"/>
        <v>2730000</v>
      </c>
      <c r="F20" s="2">
        <f>SUM(F21:F24)</f>
        <v>6250</v>
      </c>
      <c r="G20" s="2">
        <f>SUM(G21:G24)</f>
        <v>6950</v>
      </c>
      <c r="H20" s="2">
        <f t="shared" ref="H20" si="13">SUM(H21:H24)</f>
        <v>14100</v>
      </c>
      <c r="I20" s="2">
        <f t="shared" si="2"/>
        <v>27300</v>
      </c>
    </row>
    <row r="21" spans="1:9" x14ac:dyDescent="0.25">
      <c r="A21" s="3" t="s">
        <v>19</v>
      </c>
      <c r="B21" s="4">
        <v>130000</v>
      </c>
      <c r="C21" s="4">
        <v>150000</v>
      </c>
      <c r="D21" s="4">
        <v>270000</v>
      </c>
      <c r="E21" s="4">
        <f t="shared" si="0"/>
        <v>550000</v>
      </c>
      <c r="F21" s="4">
        <f t="shared" ref="F21:F24" si="14">B21*0.01</f>
        <v>1300</v>
      </c>
      <c r="G21" s="4">
        <f t="shared" ref="G21:G24" si="15">C21*0.01</f>
        <v>1500</v>
      </c>
      <c r="H21" s="4">
        <f t="shared" ref="H21:H24" si="16">D21*0.01</f>
        <v>2700</v>
      </c>
      <c r="I21" s="4">
        <f t="shared" si="2"/>
        <v>5500</v>
      </c>
    </row>
    <row r="22" spans="1:9" x14ac:dyDescent="0.25">
      <c r="A22" s="3" t="s">
        <v>20</v>
      </c>
      <c r="B22" s="4">
        <v>85000</v>
      </c>
      <c r="C22" s="4">
        <v>85000</v>
      </c>
      <c r="D22" s="4">
        <v>180000</v>
      </c>
      <c r="E22" s="4">
        <f t="shared" si="0"/>
        <v>350000</v>
      </c>
      <c r="F22" s="4">
        <f t="shared" si="14"/>
        <v>850</v>
      </c>
      <c r="G22" s="4">
        <f t="shared" si="15"/>
        <v>850</v>
      </c>
      <c r="H22" s="4">
        <f t="shared" si="16"/>
        <v>1800</v>
      </c>
      <c r="I22" s="4">
        <f t="shared" si="2"/>
        <v>3500</v>
      </c>
    </row>
    <row r="23" spans="1:9" x14ac:dyDescent="0.25">
      <c r="A23" s="3" t="s">
        <v>21</v>
      </c>
      <c r="B23" s="4">
        <v>210000</v>
      </c>
      <c r="C23" s="4">
        <v>240000</v>
      </c>
      <c r="D23" s="4">
        <v>500000</v>
      </c>
      <c r="E23" s="4">
        <f t="shared" si="0"/>
        <v>950000</v>
      </c>
      <c r="F23" s="4">
        <f t="shared" si="14"/>
        <v>2100</v>
      </c>
      <c r="G23" s="4">
        <f t="shared" si="15"/>
        <v>2400</v>
      </c>
      <c r="H23" s="4">
        <f t="shared" si="16"/>
        <v>5000</v>
      </c>
      <c r="I23" s="4">
        <f t="shared" si="2"/>
        <v>9500</v>
      </c>
    </row>
    <row r="24" spans="1:9" x14ac:dyDescent="0.25">
      <c r="A24" s="3" t="s">
        <v>22</v>
      </c>
      <c r="B24" s="4">
        <v>200000</v>
      </c>
      <c r="C24" s="4">
        <v>220000</v>
      </c>
      <c r="D24" s="4">
        <v>460000</v>
      </c>
      <c r="E24" s="4">
        <f t="shared" si="0"/>
        <v>880000</v>
      </c>
      <c r="F24" s="4">
        <f t="shared" si="14"/>
        <v>2000</v>
      </c>
      <c r="G24" s="4">
        <f t="shared" si="15"/>
        <v>2200</v>
      </c>
      <c r="H24" s="4">
        <f t="shared" si="16"/>
        <v>4600</v>
      </c>
      <c r="I24" s="4">
        <f t="shared" si="2"/>
        <v>8800</v>
      </c>
    </row>
    <row r="25" spans="1:9" x14ac:dyDescent="0.25">
      <c r="A25" s="1" t="s">
        <v>23</v>
      </c>
      <c r="B25" s="2">
        <v>160000</v>
      </c>
      <c r="C25" s="2">
        <v>200000</v>
      </c>
      <c r="D25" s="2">
        <v>380000</v>
      </c>
      <c r="E25" s="2">
        <f>SUM(E26:E27)</f>
        <v>740000</v>
      </c>
      <c r="F25" s="2">
        <f>SUM(F26:F27)</f>
        <v>1600</v>
      </c>
      <c r="G25" s="2">
        <f t="shared" ref="G25:H25" si="17">SUM(G26:G27)</f>
        <v>2000</v>
      </c>
      <c r="H25" s="2">
        <f t="shared" si="17"/>
        <v>3800</v>
      </c>
      <c r="I25" s="2">
        <f t="shared" si="2"/>
        <v>7400</v>
      </c>
    </row>
    <row r="26" spans="1:9" x14ac:dyDescent="0.25">
      <c r="A26" s="3" t="s">
        <v>24</v>
      </c>
      <c r="B26" s="4">
        <v>80000</v>
      </c>
      <c r="C26" s="4">
        <v>100000</v>
      </c>
      <c r="D26" s="4">
        <v>190000</v>
      </c>
      <c r="E26" s="4">
        <f t="shared" ref="E26:E32" si="18">B26+C26+D26</f>
        <v>370000</v>
      </c>
      <c r="F26" s="4">
        <f t="shared" ref="F26:H27" si="19">B26*0.01</f>
        <v>800</v>
      </c>
      <c r="G26" s="4">
        <f t="shared" si="19"/>
        <v>1000</v>
      </c>
      <c r="H26" s="4">
        <f t="shared" si="19"/>
        <v>1900</v>
      </c>
      <c r="I26" s="4">
        <f t="shared" si="2"/>
        <v>3700</v>
      </c>
    </row>
    <row r="27" spans="1:9" x14ac:dyDescent="0.25">
      <c r="A27" s="3" t="s">
        <v>33</v>
      </c>
      <c r="B27" s="4">
        <v>80000</v>
      </c>
      <c r="C27" s="4">
        <v>100000</v>
      </c>
      <c r="D27" s="4">
        <v>190000</v>
      </c>
      <c r="E27" s="4">
        <f t="shared" si="18"/>
        <v>370000</v>
      </c>
      <c r="F27" s="4">
        <f t="shared" si="19"/>
        <v>800</v>
      </c>
      <c r="G27" s="4">
        <f t="shared" si="19"/>
        <v>1000</v>
      </c>
      <c r="H27" s="4">
        <f t="shared" si="19"/>
        <v>1900</v>
      </c>
      <c r="I27" s="4">
        <f t="shared" si="2"/>
        <v>3700</v>
      </c>
    </row>
    <row r="28" spans="1:9" x14ac:dyDescent="0.25">
      <c r="A28" s="1" t="s">
        <v>25</v>
      </c>
      <c r="B28" s="2">
        <v>40000</v>
      </c>
      <c r="C28" s="2">
        <v>40000</v>
      </c>
      <c r="D28" s="2">
        <v>40000</v>
      </c>
      <c r="E28" s="2">
        <f t="shared" si="18"/>
        <v>120000</v>
      </c>
      <c r="F28" s="2"/>
      <c r="G28" s="2"/>
      <c r="H28" s="2"/>
      <c r="I28" s="2"/>
    </row>
    <row r="29" spans="1:9" x14ac:dyDescent="0.25">
      <c r="A29" s="3" t="s">
        <v>25</v>
      </c>
      <c r="B29" s="4">
        <v>40000</v>
      </c>
      <c r="C29" s="4">
        <v>40000</v>
      </c>
      <c r="D29" s="4">
        <v>40000</v>
      </c>
      <c r="E29" s="5">
        <f t="shared" si="18"/>
        <v>120000</v>
      </c>
      <c r="F29" s="5"/>
      <c r="G29" s="5"/>
      <c r="H29" s="5"/>
      <c r="I29" s="5"/>
    </row>
    <row r="30" spans="1:9" x14ac:dyDescent="0.25">
      <c r="A30" s="1" t="s">
        <v>26</v>
      </c>
      <c r="B30" s="6">
        <v>80000</v>
      </c>
      <c r="C30" s="6">
        <v>100000</v>
      </c>
      <c r="D30" s="6">
        <v>100000</v>
      </c>
      <c r="E30" s="2">
        <f t="shared" si="18"/>
        <v>280000</v>
      </c>
      <c r="F30" s="2"/>
      <c r="G30" s="2"/>
      <c r="H30" s="2"/>
      <c r="I30" s="2"/>
    </row>
    <row r="31" spans="1:9" x14ac:dyDescent="0.25">
      <c r="A31" s="3" t="s">
        <v>26</v>
      </c>
      <c r="B31" s="4">
        <v>80000</v>
      </c>
      <c r="C31" s="4">
        <v>100000</v>
      </c>
      <c r="D31" s="4">
        <v>100000</v>
      </c>
      <c r="E31" s="4">
        <f t="shared" si="18"/>
        <v>280000</v>
      </c>
      <c r="F31" s="4"/>
      <c r="G31" s="4"/>
      <c r="H31" s="4"/>
      <c r="I31" s="4"/>
    </row>
    <row r="32" spans="1:9" x14ac:dyDescent="0.25">
      <c r="A32" s="9" t="s">
        <v>27</v>
      </c>
      <c r="B32" s="10">
        <v>7600000</v>
      </c>
      <c r="C32" s="10">
        <v>8350000</v>
      </c>
      <c r="D32" s="10">
        <v>13600000</v>
      </c>
      <c r="E32" s="10">
        <f t="shared" si="18"/>
        <v>29550000</v>
      </c>
      <c r="F32" s="10">
        <f>F3+F12+F16+F20+F25</f>
        <v>74800</v>
      </c>
      <c r="G32" s="10">
        <f t="shared" ref="G32:I32" si="20">G3+G12+G16+G20+G25</f>
        <v>82100</v>
      </c>
      <c r="H32" s="10">
        <f t="shared" si="20"/>
        <v>134600</v>
      </c>
      <c r="I32" s="10">
        <f t="shared" si="20"/>
        <v>291500</v>
      </c>
    </row>
    <row r="33" spans="5:5" x14ac:dyDescent="0.25">
      <c r="E33" s="12"/>
    </row>
  </sheetData>
  <mergeCells count="2">
    <mergeCell ref="B1:E1"/>
    <mergeCell ref="F1:I1"/>
  </mergeCells>
  <pageMargins left="0.511811024" right="0.511811024" top="0.78740157499999996" bottom="0.78740157499999996" header="0.31496062000000002" footer="0.31496062000000002"/>
  <pageSetup paperSize="9" scale="50" orientation="landscape" r:id="rId1"/>
  <colBreaks count="1" manualBreakCount="1">
    <brk id="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194DD-A1A4-4AFE-88C1-0DA78E854138}">
  <dimension ref="A1:D22"/>
  <sheetViews>
    <sheetView workbookViewId="0">
      <selection activeCell="C2" sqref="C2:C22"/>
    </sheetView>
  </sheetViews>
  <sheetFormatPr defaultRowHeight="15" x14ac:dyDescent="0.25"/>
  <cols>
    <col min="1" max="1" width="16.28515625" style="15" bestFit="1" customWidth="1"/>
    <col min="2" max="2" width="14.7109375" style="15" bestFit="1" customWidth="1"/>
    <col min="3" max="4" width="15.7109375" style="15" bestFit="1" customWidth="1"/>
    <col min="5" max="16384" width="9.140625" style="15"/>
  </cols>
  <sheetData>
    <row r="1" spans="1:4" x14ac:dyDescent="0.25">
      <c r="A1" s="16" t="s">
        <v>42</v>
      </c>
      <c r="B1" s="17" t="s">
        <v>39</v>
      </c>
      <c r="C1" s="17" t="s">
        <v>40</v>
      </c>
      <c r="D1" s="17" t="s">
        <v>41</v>
      </c>
    </row>
    <row r="2" spans="1:4" x14ac:dyDescent="0.25">
      <c r="A2" s="18" t="s">
        <v>43</v>
      </c>
      <c r="B2" s="4">
        <v>995000</v>
      </c>
      <c r="C2" s="4">
        <v>1030000</v>
      </c>
      <c r="D2" s="4">
        <v>1800000</v>
      </c>
    </row>
    <row r="3" spans="1:4" x14ac:dyDescent="0.25">
      <c r="A3" s="18" t="s">
        <v>44</v>
      </c>
      <c r="B3" s="4">
        <v>550000</v>
      </c>
      <c r="C3" s="4">
        <v>590000</v>
      </c>
      <c r="D3" s="4">
        <v>950000</v>
      </c>
    </row>
    <row r="4" spans="1:4" x14ac:dyDescent="0.25">
      <c r="A4" s="18" t="s">
        <v>45</v>
      </c>
      <c r="B4" s="4">
        <v>370000</v>
      </c>
      <c r="C4" s="4">
        <v>410000</v>
      </c>
      <c r="D4" s="4">
        <v>600000</v>
      </c>
    </row>
    <row r="5" spans="1:4" x14ac:dyDescent="0.25">
      <c r="A5" s="18" t="s">
        <v>46</v>
      </c>
      <c r="B5" s="4">
        <v>145000</v>
      </c>
      <c r="C5" s="4">
        <v>160000</v>
      </c>
      <c r="D5" s="4">
        <v>230000</v>
      </c>
    </row>
    <row r="6" spans="1:4" x14ac:dyDescent="0.25">
      <c r="A6" s="18" t="s">
        <v>48</v>
      </c>
      <c r="B6" s="4">
        <v>710000</v>
      </c>
      <c r="C6" s="4">
        <v>800000</v>
      </c>
      <c r="D6" s="4">
        <v>1200000</v>
      </c>
    </row>
    <row r="7" spans="1:4" x14ac:dyDescent="0.25">
      <c r="A7" s="18" t="s">
        <v>47</v>
      </c>
      <c r="B7" s="4">
        <v>375000</v>
      </c>
      <c r="C7" s="4">
        <v>420000</v>
      </c>
      <c r="D7" s="4">
        <v>650000</v>
      </c>
    </row>
    <row r="8" spans="1:4" x14ac:dyDescent="0.25">
      <c r="A8" s="18" t="s">
        <v>49</v>
      </c>
      <c r="B8" s="4">
        <v>700000</v>
      </c>
      <c r="C8" s="4">
        <v>820000</v>
      </c>
      <c r="D8" s="4">
        <v>1300000</v>
      </c>
    </row>
    <row r="9" spans="1:4" x14ac:dyDescent="0.25">
      <c r="A9" s="18" t="s">
        <v>50</v>
      </c>
      <c r="B9" s="4">
        <v>200000</v>
      </c>
      <c r="C9" s="4">
        <v>215000</v>
      </c>
      <c r="D9" s="4">
        <v>330000</v>
      </c>
    </row>
    <row r="10" spans="1:4" x14ac:dyDescent="0.25">
      <c r="A10" s="18" t="s">
        <v>51</v>
      </c>
      <c r="B10" s="4">
        <v>430000</v>
      </c>
      <c r="C10" s="4">
        <v>460000</v>
      </c>
      <c r="D10" s="4">
        <v>700000</v>
      </c>
    </row>
    <row r="11" spans="1:4" x14ac:dyDescent="0.25">
      <c r="A11" s="18" t="s">
        <v>52</v>
      </c>
      <c r="B11" s="4">
        <v>970000</v>
      </c>
      <c r="C11" s="4">
        <v>1010000</v>
      </c>
      <c r="D11" s="4">
        <v>1650000</v>
      </c>
    </row>
    <row r="12" spans="1:4" x14ac:dyDescent="0.25">
      <c r="A12" s="18" t="s">
        <v>53</v>
      </c>
      <c r="B12" s="4">
        <v>300000</v>
      </c>
      <c r="C12" s="4">
        <v>330000</v>
      </c>
      <c r="D12" s="4">
        <v>500000</v>
      </c>
    </row>
    <row r="13" spans="1:4" x14ac:dyDescent="0.25">
      <c r="A13" s="18" t="s">
        <v>54</v>
      </c>
      <c r="B13" s="4">
        <v>230000</v>
      </c>
      <c r="C13" s="4">
        <v>250000</v>
      </c>
      <c r="D13" s="4">
        <v>380000</v>
      </c>
    </row>
    <row r="14" spans="1:4" x14ac:dyDescent="0.25">
      <c r="A14" s="18" t="s">
        <v>55</v>
      </c>
      <c r="B14" s="4">
        <v>410000</v>
      </c>
      <c r="C14" s="4">
        <v>470000</v>
      </c>
      <c r="D14" s="4">
        <v>760000</v>
      </c>
    </row>
    <row r="15" spans="1:4" x14ac:dyDescent="0.25">
      <c r="A15" s="18" t="s">
        <v>56</v>
      </c>
      <c r="B15" s="4">
        <v>310000</v>
      </c>
      <c r="C15" s="4">
        <v>350000</v>
      </c>
      <c r="D15" s="4">
        <v>620000</v>
      </c>
    </row>
    <row r="16" spans="1:4" x14ac:dyDescent="0.25">
      <c r="A16" s="18" t="s">
        <v>57</v>
      </c>
      <c r="B16" s="4">
        <v>130000</v>
      </c>
      <c r="C16" s="4">
        <v>150000</v>
      </c>
      <c r="D16" s="4">
        <v>270000</v>
      </c>
    </row>
    <row r="17" spans="1:4" x14ac:dyDescent="0.25">
      <c r="A17" s="18" t="s">
        <v>58</v>
      </c>
      <c r="B17" s="4">
        <v>85000</v>
      </c>
      <c r="C17" s="4">
        <v>85000</v>
      </c>
      <c r="D17" s="4">
        <v>180000</v>
      </c>
    </row>
    <row r="18" spans="1:4" x14ac:dyDescent="0.25">
      <c r="A18" s="18" t="s">
        <v>59</v>
      </c>
      <c r="B18" s="4">
        <v>210000</v>
      </c>
      <c r="C18" s="4">
        <v>240000</v>
      </c>
      <c r="D18" s="4">
        <v>500000</v>
      </c>
    </row>
    <row r="19" spans="1:4" x14ac:dyDescent="0.25">
      <c r="A19" s="18" t="s">
        <v>60</v>
      </c>
      <c r="B19" s="4">
        <v>200000</v>
      </c>
      <c r="C19" s="4">
        <v>220000</v>
      </c>
      <c r="D19" s="4">
        <v>460000</v>
      </c>
    </row>
    <row r="20" spans="1:4" x14ac:dyDescent="0.25">
      <c r="A20" s="18" t="s">
        <v>62</v>
      </c>
      <c r="B20" s="4">
        <v>80000</v>
      </c>
      <c r="C20" s="4">
        <v>100000</v>
      </c>
      <c r="D20" s="4">
        <v>190000</v>
      </c>
    </row>
    <row r="21" spans="1:4" x14ac:dyDescent="0.25">
      <c r="A21" s="18" t="s">
        <v>61</v>
      </c>
      <c r="B21" s="4">
        <v>80000</v>
      </c>
      <c r="C21" s="4">
        <v>100000</v>
      </c>
      <c r="D21" s="4">
        <v>190000</v>
      </c>
    </row>
    <row r="22" spans="1:4" x14ac:dyDescent="0.25">
      <c r="A22" s="18" t="s">
        <v>63</v>
      </c>
      <c r="B22" s="4">
        <v>80000</v>
      </c>
      <c r="C22" s="4">
        <v>100000</v>
      </c>
      <c r="D22" s="4">
        <v>100000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16076-FD3F-4519-9764-8A4075B45761}">
  <dimension ref="A1:C64"/>
  <sheetViews>
    <sheetView tabSelected="1" workbookViewId="0"/>
  </sheetViews>
  <sheetFormatPr defaultRowHeight="15" x14ac:dyDescent="0.25"/>
  <cols>
    <col min="1" max="1" width="5.42578125" bestFit="1" customWidth="1"/>
    <col min="2" max="2" width="10.42578125" bestFit="1" customWidth="1"/>
    <col min="3" max="3" width="8" bestFit="1" customWidth="1"/>
  </cols>
  <sheetData>
    <row r="1" spans="1:3" x14ac:dyDescent="0.25">
      <c r="A1" s="19" t="s">
        <v>42</v>
      </c>
      <c r="B1" s="19" t="s">
        <v>64</v>
      </c>
      <c r="C1" s="19" t="s">
        <v>65</v>
      </c>
    </row>
    <row r="2" spans="1:3" x14ac:dyDescent="0.25">
      <c r="A2" s="19" t="s">
        <v>43</v>
      </c>
      <c r="B2" s="19" t="s">
        <v>39</v>
      </c>
      <c r="C2" s="20">
        <v>995000</v>
      </c>
    </row>
    <row r="3" spans="1:3" x14ac:dyDescent="0.25">
      <c r="A3" s="19" t="s">
        <v>43</v>
      </c>
      <c r="B3" s="19" t="s">
        <v>40</v>
      </c>
      <c r="C3" s="20">
        <v>1030000</v>
      </c>
    </row>
    <row r="4" spans="1:3" x14ac:dyDescent="0.25">
      <c r="A4" s="19" t="s">
        <v>43</v>
      </c>
      <c r="B4" s="19" t="s">
        <v>41</v>
      </c>
      <c r="C4" s="20">
        <v>1800000</v>
      </c>
    </row>
    <row r="5" spans="1:3" x14ac:dyDescent="0.25">
      <c r="A5" s="19" t="s">
        <v>44</v>
      </c>
      <c r="B5" s="19" t="s">
        <v>39</v>
      </c>
      <c r="C5" s="20">
        <v>550000</v>
      </c>
    </row>
    <row r="6" spans="1:3" x14ac:dyDescent="0.25">
      <c r="A6" s="19" t="s">
        <v>44</v>
      </c>
      <c r="B6" s="19" t="s">
        <v>40</v>
      </c>
      <c r="C6" s="20">
        <v>590000</v>
      </c>
    </row>
    <row r="7" spans="1:3" x14ac:dyDescent="0.25">
      <c r="A7" s="19" t="s">
        <v>44</v>
      </c>
      <c r="B7" s="19" t="s">
        <v>41</v>
      </c>
      <c r="C7" s="20">
        <v>950000</v>
      </c>
    </row>
    <row r="8" spans="1:3" x14ac:dyDescent="0.25">
      <c r="A8" s="19" t="s">
        <v>45</v>
      </c>
      <c r="B8" s="19" t="s">
        <v>39</v>
      </c>
      <c r="C8" s="20">
        <v>370000</v>
      </c>
    </row>
    <row r="9" spans="1:3" x14ac:dyDescent="0.25">
      <c r="A9" s="19" t="s">
        <v>45</v>
      </c>
      <c r="B9" s="19" t="s">
        <v>40</v>
      </c>
      <c r="C9" s="20">
        <v>410000</v>
      </c>
    </row>
    <row r="10" spans="1:3" x14ac:dyDescent="0.25">
      <c r="A10" s="19" t="s">
        <v>45</v>
      </c>
      <c r="B10" s="19" t="s">
        <v>41</v>
      </c>
      <c r="C10" s="20">
        <v>600000</v>
      </c>
    </row>
    <row r="11" spans="1:3" x14ac:dyDescent="0.25">
      <c r="A11" s="19" t="s">
        <v>46</v>
      </c>
      <c r="B11" s="19" t="s">
        <v>39</v>
      </c>
      <c r="C11" s="20">
        <v>145000</v>
      </c>
    </row>
    <row r="12" spans="1:3" x14ac:dyDescent="0.25">
      <c r="A12" s="19" t="s">
        <v>46</v>
      </c>
      <c r="B12" s="19" t="s">
        <v>40</v>
      </c>
      <c r="C12" s="20">
        <v>160000</v>
      </c>
    </row>
    <row r="13" spans="1:3" x14ac:dyDescent="0.25">
      <c r="A13" s="19" t="s">
        <v>46</v>
      </c>
      <c r="B13" s="19" t="s">
        <v>41</v>
      </c>
      <c r="C13" s="20">
        <v>230000</v>
      </c>
    </row>
    <row r="14" spans="1:3" x14ac:dyDescent="0.25">
      <c r="A14" s="19" t="s">
        <v>48</v>
      </c>
      <c r="B14" s="19" t="s">
        <v>39</v>
      </c>
      <c r="C14" s="20">
        <v>710000</v>
      </c>
    </row>
    <row r="15" spans="1:3" x14ac:dyDescent="0.25">
      <c r="A15" s="19" t="s">
        <v>48</v>
      </c>
      <c r="B15" s="19" t="s">
        <v>40</v>
      </c>
      <c r="C15" s="20">
        <v>800000</v>
      </c>
    </row>
    <row r="16" spans="1:3" x14ac:dyDescent="0.25">
      <c r="A16" s="19" t="s">
        <v>48</v>
      </c>
      <c r="B16" s="19" t="s">
        <v>41</v>
      </c>
      <c r="C16" s="20">
        <v>1200000</v>
      </c>
    </row>
    <row r="17" spans="1:3" x14ac:dyDescent="0.25">
      <c r="A17" s="19" t="s">
        <v>47</v>
      </c>
      <c r="B17" s="19" t="s">
        <v>39</v>
      </c>
      <c r="C17" s="20">
        <v>375000</v>
      </c>
    </row>
    <row r="18" spans="1:3" x14ac:dyDescent="0.25">
      <c r="A18" s="19" t="s">
        <v>47</v>
      </c>
      <c r="B18" s="19" t="s">
        <v>40</v>
      </c>
      <c r="C18" s="20">
        <v>420000</v>
      </c>
    </row>
    <row r="19" spans="1:3" x14ac:dyDescent="0.25">
      <c r="A19" s="19" t="s">
        <v>47</v>
      </c>
      <c r="B19" s="19" t="s">
        <v>41</v>
      </c>
      <c r="C19" s="20">
        <v>650000</v>
      </c>
    </row>
    <row r="20" spans="1:3" x14ac:dyDescent="0.25">
      <c r="A20" s="19" t="s">
        <v>49</v>
      </c>
      <c r="B20" s="19" t="s">
        <v>39</v>
      </c>
      <c r="C20" s="20">
        <v>700000</v>
      </c>
    </row>
    <row r="21" spans="1:3" x14ac:dyDescent="0.25">
      <c r="A21" s="19" t="s">
        <v>49</v>
      </c>
      <c r="B21" s="19" t="s">
        <v>40</v>
      </c>
      <c r="C21" s="20">
        <v>820000</v>
      </c>
    </row>
    <row r="22" spans="1:3" x14ac:dyDescent="0.25">
      <c r="A22" s="19" t="s">
        <v>49</v>
      </c>
      <c r="B22" s="19" t="s">
        <v>41</v>
      </c>
      <c r="C22" s="20">
        <v>1300000</v>
      </c>
    </row>
    <row r="23" spans="1:3" x14ac:dyDescent="0.25">
      <c r="A23" s="19" t="s">
        <v>50</v>
      </c>
      <c r="B23" s="19" t="s">
        <v>39</v>
      </c>
      <c r="C23" s="20">
        <v>200000</v>
      </c>
    </row>
    <row r="24" spans="1:3" x14ac:dyDescent="0.25">
      <c r="A24" s="19" t="s">
        <v>50</v>
      </c>
      <c r="B24" s="19" t="s">
        <v>40</v>
      </c>
      <c r="C24" s="20">
        <v>215000</v>
      </c>
    </row>
    <row r="25" spans="1:3" x14ac:dyDescent="0.25">
      <c r="A25" s="19" t="s">
        <v>50</v>
      </c>
      <c r="B25" s="19" t="s">
        <v>41</v>
      </c>
      <c r="C25" s="20">
        <v>330000</v>
      </c>
    </row>
    <row r="26" spans="1:3" x14ac:dyDescent="0.25">
      <c r="A26" s="19" t="s">
        <v>51</v>
      </c>
      <c r="B26" s="19" t="s">
        <v>39</v>
      </c>
      <c r="C26" s="20">
        <v>430000</v>
      </c>
    </row>
    <row r="27" spans="1:3" x14ac:dyDescent="0.25">
      <c r="A27" s="19" t="s">
        <v>51</v>
      </c>
      <c r="B27" s="19" t="s">
        <v>40</v>
      </c>
      <c r="C27" s="20">
        <v>460000</v>
      </c>
    </row>
    <row r="28" spans="1:3" x14ac:dyDescent="0.25">
      <c r="A28" s="19" t="s">
        <v>51</v>
      </c>
      <c r="B28" s="19" t="s">
        <v>41</v>
      </c>
      <c r="C28" s="20">
        <v>700000</v>
      </c>
    </row>
    <row r="29" spans="1:3" x14ac:dyDescent="0.25">
      <c r="A29" s="19" t="s">
        <v>52</v>
      </c>
      <c r="B29" s="19" t="s">
        <v>39</v>
      </c>
      <c r="C29" s="20">
        <v>970000</v>
      </c>
    </row>
    <row r="30" spans="1:3" x14ac:dyDescent="0.25">
      <c r="A30" s="19" t="s">
        <v>52</v>
      </c>
      <c r="B30" s="19" t="s">
        <v>40</v>
      </c>
      <c r="C30" s="20">
        <v>1010000</v>
      </c>
    </row>
    <row r="31" spans="1:3" x14ac:dyDescent="0.25">
      <c r="A31" s="19" t="s">
        <v>52</v>
      </c>
      <c r="B31" s="19" t="s">
        <v>41</v>
      </c>
      <c r="C31" s="20">
        <v>1650000</v>
      </c>
    </row>
    <row r="32" spans="1:3" x14ac:dyDescent="0.25">
      <c r="A32" s="19" t="s">
        <v>53</v>
      </c>
      <c r="B32" s="19" t="s">
        <v>39</v>
      </c>
      <c r="C32" s="20">
        <v>300000</v>
      </c>
    </row>
    <row r="33" spans="1:3" x14ac:dyDescent="0.25">
      <c r="A33" s="19" t="s">
        <v>53</v>
      </c>
      <c r="B33" s="19" t="s">
        <v>40</v>
      </c>
      <c r="C33" s="20">
        <v>330000</v>
      </c>
    </row>
    <row r="34" spans="1:3" x14ac:dyDescent="0.25">
      <c r="A34" s="19" t="s">
        <v>53</v>
      </c>
      <c r="B34" s="19" t="s">
        <v>41</v>
      </c>
      <c r="C34" s="20">
        <v>500000</v>
      </c>
    </row>
    <row r="35" spans="1:3" x14ac:dyDescent="0.25">
      <c r="A35" s="19" t="s">
        <v>54</v>
      </c>
      <c r="B35" s="19" t="s">
        <v>39</v>
      </c>
      <c r="C35" s="20">
        <v>230000</v>
      </c>
    </row>
    <row r="36" spans="1:3" x14ac:dyDescent="0.25">
      <c r="A36" s="19" t="s">
        <v>54</v>
      </c>
      <c r="B36" s="19" t="s">
        <v>40</v>
      </c>
      <c r="C36" s="20">
        <v>250000</v>
      </c>
    </row>
    <row r="37" spans="1:3" x14ac:dyDescent="0.25">
      <c r="A37" s="19" t="s">
        <v>54</v>
      </c>
      <c r="B37" s="19" t="s">
        <v>41</v>
      </c>
      <c r="C37" s="20">
        <v>380000</v>
      </c>
    </row>
    <row r="38" spans="1:3" x14ac:dyDescent="0.25">
      <c r="A38" s="19" t="s">
        <v>55</v>
      </c>
      <c r="B38" s="19" t="s">
        <v>39</v>
      </c>
      <c r="C38" s="20">
        <v>410000</v>
      </c>
    </row>
    <row r="39" spans="1:3" x14ac:dyDescent="0.25">
      <c r="A39" s="19" t="s">
        <v>55</v>
      </c>
      <c r="B39" s="19" t="s">
        <v>40</v>
      </c>
      <c r="C39" s="20">
        <v>470000</v>
      </c>
    </row>
    <row r="40" spans="1:3" x14ac:dyDescent="0.25">
      <c r="A40" s="19" t="s">
        <v>55</v>
      </c>
      <c r="B40" s="19" t="s">
        <v>41</v>
      </c>
      <c r="C40" s="20">
        <v>760000</v>
      </c>
    </row>
    <row r="41" spans="1:3" x14ac:dyDescent="0.25">
      <c r="A41" s="19" t="s">
        <v>56</v>
      </c>
      <c r="B41" s="19" t="s">
        <v>39</v>
      </c>
      <c r="C41" s="20">
        <v>310000</v>
      </c>
    </row>
    <row r="42" spans="1:3" x14ac:dyDescent="0.25">
      <c r="A42" s="19" t="s">
        <v>56</v>
      </c>
      <c r="B42" s="19" t="s">
        <v>40</v>
      </c>
      <c r="C42" s="20">
        <v>350000</v>
      </c>
    </row>
    <row r="43" spans="1:3" x14ac:dyDescent="0.25">
      <c r="A43" s="19" t="s">
        <v>56</v>
      </c>
      <c r="B43" s="19" t="s">
        <v>41</v>
      </c>
      <c r="C43" s="20">
        <v>620000</v>
      </c>
    </row>
    <row r="44" spans="1:3" x14ac:dyDescent="0.25">
      <c r="A44" s="19" t="s">
        <v>57</v>
      </c>
      <c r="B44" s="19" t="s">
        <v>39</v>
      </c>
      <c r="C44" s="20">
        <v>130000</v>
      </c>
    </row>
    <row r="45" spans="1:3" x14ac:dyDescent="0.25">
      <c r="A45" s="19" t="s">
        <v>57</v>
      </c>
      <c r="B45" s="19" t="s">
        <v>40</v>
      </c>
      <c r="C45" s="20">
        <v>150000</v>
      </c>
    </row>
    <row r="46" spans="1:3" x14ac:dyDescent="0.25">
      <c r="A46" s="19" t="s">
        <v>57</v>
      </c>
      <c r="B46" s="19" t="s">
        <v>41</v>
      </c>
      <c r="C46" s="20">
        <v>270000</v>
      </c>
    </row>
    <row r="47" spans="1:3" x14ac:dyDescent="0.25">
      <c r="A47" s="19" t="s">
        <v>58</v>
      </c>
      <c r="B47" s="19" t="s">
        <v>39</v>
      </c>
      <c r="C47" s="20">
        <v>85000</v>
      </c>
    </row>
    <row r="48" spans="1:3" x14ac:dyDescent="0.25">
      <c r="A48" s="19" t="s">
        <v>58</v>
      </c>
      <c r="B48" s="19" t="s">
        <v>40</v>
      </c>
      <c r="C48" s="20">
        <v>85000</v>
      </c>
    </row>
    <row r="49" spans="1:3" x14ac:dyDescent="0.25">
      <c r="A49" s="19" t="s">
        <v>58</v>
      </c>
      <c r="B49" s="19" t="s">
        <v>41</v>
      </c>
      <c r="C49" s="20">
        <v>180000</v>
      </c>
    </row>
    <row r="50" spans="1:3" x14ac:dyDescent="0.25">
      <c r="A50" s="19" t="s">
        <v>59</v>
      </c>
      <c r="B50" s="19" t="s">
        <v>39</v>
      </c>
      <c r="C50" s="20">
        <v>210000</v>
      </c>
    </row>
    <row r="51" spans="1:3" x14ac:dyDescent="0.25">
      <c r="A51" s="19" t="s">
        <v>59</v>
      </c>
      <c r="B51" s="19" t="s">
        <v>40</v>
      </c>
      <c r="C51" s="20">
        <v>240000</v>
      </c>
    </row>
    <row r="52" spans="1:3" x14ac:dyDescent="0.25">
      <c r="A52" s="19" t="s">
        <v>59</v>
      </c>
      <c r="B52" s="19" t="s">
        <v>41</v>
      </c>
      <c r="C52" s="20">
        <v>500000</v>
      </c>
    </row>
    <row r="53" spans="1:3" x14ac:dyDescent="0.25">
      <c r="A53" s="19" t="s">
        <v>60</v>
      </c>
      <c r="B53" s="19" t="s">
        <v>39</v>
      </c>
      <c r="C53" s="20">
        <v>200000</v>
      </c>
    </row>
    <row r="54" spans="1:3" x14ac:dyDescent="0.25">
      <c r="A54" s="19" t="s">
        <v>60</v>
      </c>
      <c r="B54" s="19" t="s">
        <v>40</v>
      </c>
      <c r="C54" s="20">
        <v>220000</v>
      </c>
    </row>
    <row r="55" spans="1:3" x14ac:dyDescent="0.25">
      <c r="A55" s="19" t="s">
        <v>60</v>
      </c>
      <c r="B55" s="19" t="s">
        <v>41</v>
      </c>
      <c r="C55" s="20">
        <v>460000</v>
      </c>
    </row>
    <row r="56" spans="1:3" x14ac:dyDescent="0.25">
      <c r="A56" s="19" t="s">
        <v>62</v>
      </c>
      <c r="B56" s="19" t="s">
        <v>39</v>
      </c>
      <c r="C56" s="20">
        <v>80000</v>
      </c>
    </row>
    <row r="57" spans="1:3" x14ac:dyDescent="0.25">
      <c r="A57" s="19" t="s">
        <v>62</v>
      </c>
      <c r="B57" s="19" t="s">
        <v>40</v>
      </c>
      <c r="C57" s="20">
        <v>100000</v>
      </c>
    </row>
    <row r="58" spans="1:3" x14ac:dyDescent="0.25">
      <c r="A58" s="19" t="s">
        <v>62</v>
      </c>
      <c r="B58" s="19" t="s">
        <v>41</v>
      </c>
      <c r="C58" s="20">
        <v>190000</v>
      </c>
    </row>
    <row r="59" spans="1:3" x14ac:dyDescent="0.25">
      <c r="A59" s="19" t="s">
        <v>61</v>
      </c>
      <c r="B59" s="19" t="s">
        <v>39</v>
      </c>
      <c r="C59" s="20">
        <v>80000</v>
      </c>
    </row>
    <row r="60" spans="1:3" x14ac:dyDescent="0.25">
      <c r="A60" s="19" t="s">
        <v>61</v>
      </c>
      <c r="B60" s="19" t="s">
        <v>40</v>
      </c>
      <c r="C60" s="20">
        <v>100000</v>
      </c>
    </row>
    <row r="61" spans="1:3" x14ac:dyDescent="0.25">
      <c r="A61" s="19" t="s">
        <v>61</v>
      </c>
      <c r="B61" s="19" t="s">
        <v>41</v>
      </c>
      <c r="C61" s="20">
        <v>190000</v>
      </c>
    </row>
    <row r="62" spans="1:3" x14ac:dyDescent="0.25">
      <c r="A62" s="19" t="s">
        <v>63</v>
      </c>
      <c r="B62" s="19" t="s">
        <v>39</v>
      </c>
      <c r="C62" s="20">
        <v>80000</v>
      </c>
    </row>
    <row r="63" spans="1:3" x14ac:dyDescent="0.25">
      <c r="A63" s="19" t="s">
        <v>63</v>
      </c>
      <c r="B63" s="19" t="s">
        <v>40</v>
      </c>
      <c r="C63" s="20">
        <v>100000</v>
      </c>
    </row>
    <row r="64" spans="1:3" x14ac:dyDescent="0.25">
      <c r="A64" s="19" t="s">
        <v>63</v>
      </c>
      <c r="B64" s="19" t="s">
        <v>41</v>
      </c>
      <c r="C64" s="20">
        <v>100000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</vt:lpstr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Raony</dc:creator>
  <cp:lastModifiedBy>Chirlanio</cp:lastModifiedBy>
  <cp:lastPrinted>2021-07-01T14:53:44Z</cp:lastPrinted>
  <dcterms:created xsi:type="dcterms:W3CDTF">2021-07-01T10:42:44Z</dcterms:created>
  <dcterms:modified xsi:type="dcterms:W3CDTF">2021-10-02T15:41:29Z</dcterms:modified>
</cp:coreProperties>
</file>